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vuon\Documents\KiCad_Projects\Flyback_Converter_Demo_Board\"/>
    </mc:Choice>
  </mc:AlternateContent>
  <xr:revisionPtr revIDLastSave="0" documentId="13_ncr:1_{CBCF1A86-6145-458D-B8E7-A43240E4FFEC}" xr6:coauthVersionLast="47" xr6:coauthVersionMax="47" xr10:uidLastSave="{00000000-0000-0000-0000-000000000000}"/>
  <bookViews>
    <workbookView xWindow="-110" yWindow="-110" windowWidth="38620" windowHeight="21820" xr2:uid="{2ABFD8E1-7393-41CC-8605-39C70B410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  <c r="E14" i="1"/>
  <c r="E8" i="1"/>
  <c r="E7" i="1"/>
  <c r="D15" i="1"/>
  <c r="D14" i="1"/>
  <c r="D8" i="1"/>
  <c r="D7" i="1"/>
  <c r="G3" i="1"/>
  <c r="F15" i="1" s="1"/>
  <c r="E3" i="1"/>
  <c r="C15" i="1" s="1"/>
  <c r="D3" i="1"/>
  <c r="C8" i="1" s="1"/>
  <c r="C7" i="1" l="1"/>
  <c r="C14" i="1"/>
  <c r="F7" i="1"/>
  <c r="F8" i="1"/>
  <c r="G8" i="1" s="1"/>
  <c r="H8" i="1" s="1"/>
  <c r="I8" i="1" s="1"/>
  <c r="J8" i="1" s="1"/>
  <c r="F14" i="1"/>
  <c r="G15" i="1"/>
  <c r="H15" i="1" s="1"/>
  <c r="I15" i="1" s="1"/>
  <c r="J15" i="1" s="1"/>
  <c r="G14" i="1"/>
  <c r="H14" i="1" s="1"/>
  <c r="I14" i="1" s="1"/>
  <c r="J14" i="1" s="1"/>
  <c r="G7" i="1" l="1"/>
  <c r="H7" i="1" s="1"/>
  <c r="I7" i="1" s="1"/>
  <c r="J7" i="1" s="1"/>
</calcChain>
</file>

<file path=xl/sharedStrings.xml><?xml version="1.0" encoding="utf-8"?>
<sst xmlns="http://schemas.openxmlformats.org/spreadsheetml/2006/main" count="31" uniqueCount="18">
  <si>
    <t>VOUT</t>
  </si>
  <si>
    <t>VIN</t>
  </si>
  <si>
    <t>RL</t>
  </si>
  <si>
    <t>Lm</t>
  </si>
  <si>
    <t>Ts</t>
  </si>
  <si>
    <t>Fs</t>
  </si>
  <si>
    <t>Dcalc</t>
  </si>
  <si>
    <t>Imin</t>
  </si>
  <si>
    <t>Imax</t>
  </si>
  <si>
    <t>Rmax</t>
  </si>
  <si>
    <t>Rmin</t>
  </si>
  <si>
    <t>Min Load</t>
  </si>
  <si>
    <t>Max Load</t>
  </si>
  <si>
    <t>Switch_On Time</t>
  </si>
  <si>
    <t>Switch_Off Time</t>
  </si>
  <si>
    <t>Max Vripple</t>
  </si>
  <si>
    <t>Cout_Min based on Max Allowed Vripple</t>
  </si>
  <si>
    <t>VOUT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</si>
</sst>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560F-19EB-4294-B8E4-B82D051408B5}">
  <dimension ref="A2:J15"/>
  <sheetViews>
    <sheetView tabSelected="1" zoomScaleNormal="100" workbookViewId="0">
      <selection activeCell="K18" sqref="K18"/>
    </sheetView>
  </sheetViews>
  <sheetFormatPr defaultRowHeight="14.5" x14ac:dyDescent="0.35"/>
  <cols>
    <col min="1" max="1" width="9.6328125" customWidth="1"/>
    <col min="8" max="8" width="13.7265625" bestFit="1" customWidth="1"/>
    <col min="9" max="9" width="13.81640625" bestFit="1" customWidth="1"/>
    <col min="10" max="10" width="34.81640625" customWidth="1"/>
  </cols>
  <sheetData>
    <row r="2" spans="1:10" x14ac:dyDescent="0.35">
      <c r="A2" s="1" t="s">
        <v>17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5</v>
      </c>
      <c r="G2" s="1" t="s">
        <v>4</v>
      </c>
      <c r="H2" s="1" t="s">
        <v>3</v>
      </c>
      <c r="I2" s="1" t="s">
        <v>15</v>
      </c>
    </row>
    <row r="3" spans="1:10" x14ac:dyDescent="0.35">
      <c r="A3" s="1">
        <v>5</v>
      </c>
      <c r="B3" s="2">
        <v>0.05</v>
      </c>
      <c r="C3" s="1">
        <v>2</v>
      </c>
      <c r="D3" s="2">
        <f>A3/B3</f>
        <v>100</v>
      </c>
      <c r="E3" s="1">
        <f>A3/C3</f>
        <v>2.5</v>
      </c>
      <c r="F3" s="2">
        <v>100000</v>
      </c>
      <c r="G3" s="2">
        <f>1/F3</f>
        <v>1.0000000000000001E-5</v>
      </c>
      <c r="H3" s="2">
        <v>1.0000000000000001E-5</v>
      </c>
      <c r="I3" s="1">
        <v>0.05</v>
      </c>
    </row>
    <row r="4" spans="1:10" ht="25.5" customHeight="1" x14ac:dyDescent="0.35"/>
    <row r="5" spans="1:10" x14ac:dyDescent="0.35">
      <c r="A5" s="3" t="s">
        <v>11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5</v>
      </c>
      <c r="F6" s="1" t="s">
        <v>4</v>
      </c>
      <c r="G6" s="1" t="s">
        <v>6</v>
      </c>
      <c r="H6" s="1" t="s">
        <v>13</v>
      </c>
      <c r="I6" s="1" t="s">
        <v>14</v>
      </c>
      <c r="J6" s="1" t="s">
        <v>16</v>
      </c>
    </row>
    <row r="7" spans="1:10" x14ac:dyDescent="0.35">
      <c r="A7" s="1">
        <v>5</v>
      </c>
      <c r="B7" s="1">
        <v>20</v>
      </c>
      <c r="C7" s="2">
        <f>$D$3</f>
        <v>100</v>
      </c>
      <c r="D7" s="2">
        <f>$H$3</f>
        <v>1.0000000000000001E-5</v>
      </c>
      <c r="E7" s="2">
        <f>$F$3</f>
        <v>100000</v>
      </c>
      <c r="F7" s="2">
        <f>$G$3</f>
        <v>1.0000000000000001E-5</v>
      </c>
      <c r="G7" s="2">
        <f>(A7/B7)/SQRT((C7*F7)/(2*D7))</f>
        <v>3.5355339059327376E-2</v>
      </c>
      <c r="H7" s="2">
        <f>G7*$G$3</f>
        <v>3.5355339059327379E-7</v>
      </c>
      <c r="I7" s="2">
        <f>$G$3-H7</f>
        <v>9.6464466094067262E-6</v>
      </c>
      <c r="J7" s="2">
        <f>($C$3*I7)/($I$3)</f>
        <v>3.8585786437626905E-4</v>
      </c>
    </row>
    <row r="8" spans="1:10" x14ac:dyDescent="0.35">
      <c r="A8" s="1">
        <v>5</v>
      </c>
      <c r="B8" s="1">
        <v>40</v>
      </c>
      <c r="C8" s="2">
        <f>$D$3</f>
        <v>100</v>
      </c>
      <c r="D8" s="2">
        <f>$H$3</f>
        <v>1.0000000000000001E-5</v>
      </c>
      <c r="E8" s="2">
        <f>$F$3</f>
        <v>100000</v>
      </c>
      <c r="F8" s="2">
        <f>$G$3</f>
        <v>1.0000000000000001E-5</v>
      </c>
      <c r="G8" s="2">
        <f>(A8/B8)/SQRT((C8*F8)/(2*D8))</f>
        <v>1.7677669529663688E-2</v>
      </c>
      <c r="H8" s="2">
        <f>G8*$G$3</f>
        <v>1.7677669529663689E-7</v>
      </c>
      <c r="I8" s="2">
        <f>$G$3-H8</f>
        <v>9.8232233047033644E-6</v>
      </c>
      <c r="J8" s="2">
        <f>($C$3*I8)/($I$3)</f>
        <v>3.9292893218813453E-4</v>
      </c>
    </row>
    <row r="12" spans="1:10" x14ac:dyDescent="0.35">
      <c r="A12" s="3" t="s">
        <v>12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5">
      <c r="A13" s="1" t="s">
        <v>0</v>
      </c>
      <c r="B13" s="1" t="s">
        <v>1</v>
      </c>
      <c r="C13" s="1" t="s">
        <v>2</v>
      </c>
      <c r="D13" s="1" t="s">
        <v>3</v>
      </c>
      <c r="E13" s="1" t="s">
        <v>5</v>
      </c>
      <c r="F13" s="1" t="s">
        <v>4</v>
      </c>
      <c r="G13" s="1" t="s">
        <v>6</v>
      </c>
      <c r="H13" s="1" t="s">
        <v>13</v>
      </c>
      <c r="I13" s="1" t="s">
        <v>14</v>
      </c>
      <c r="J13" s="1" t="s">
        <v>16</v>
      </c>
    </row>
    <row r="14" spans="1:10" x14ac:dyDescent="0.35">
      <c r="A14" s="1">
        <v>5</v>
      </c>
      <c r="B14" s="1">
        <v>20</v>
      </c>
      <c r="C14" s="1">
        <f>$E$3</f>
        <v>2.5</v>
      </c>
      <c r="D14" s="2">
        <f>$H$3</f>
        <v>1.0000000000000001E-5</v>
      </c>
      <c r="E14" s="2">
        <f>$F$3</f>
        <v>100000</v>
      </c>
      <c r="F14" s="2">
        <f>$G$3</f>
        <v>1.0000000000000001E-5</v>
      </c>
      <c r="G14" s="2">
        <f>(A14/B14)/SQRT((C14*F14)/(2*D14))</f>
        <v>0.22360679774997896</v>
      </c>
      <c r="H14" s="2">
        <f>G14*$G$3</f>
        <v>2.2360679774997899E-6</v>
      </c>
      <c r="I14" s="2">
        <f>$G$3-H14</f>
        <v>7.76393202250021E-6</v>
      </c>
      <c r="J14" s="2">
        <f>($C$3*I14)/($I$3)</f>
        <v>3.1055728090000837E-4</v>
      </c>
    </row>
    <row r="15" spans="1:10" x14ac:dyDescent="0.35">
      <c r="A15" s="1">
        <v>5</v>
      </c>
      <c r="B15" s="1">
        <v>34</v>
      </c>
      <c r="C15" s="1">
        <f>$E$3</f>
        <v>2.5</v>
      </c>
      <c r="D15" s="2">
        <f>$H$3</f>
        <v>1.0000000000000001E-5</v>
      </c>
      <c r="E15" s="2">
        <f>$F$3</f>
        <v>100000</v>
      </c>
      <c r="F15" s="2">
        <f>$G$3</f>
        <v>1.0000000000000001E-5</v>
      </c>
      <c r="G15" s="2">
        <f>(A15/B15)/SQRT((C15*F15)/(2*D15))</f>
        <v>0.13153341044116409</v>
      </c>
      <c r="H15" s="2">
        <f>G15*$G$3</f>
        <v>1.315334104411641E-6</v>
      </c>
      <c r="I15" s="2">
        <f>$G$3-H15</f>
        <v>8.6846658955883598E-6</v>
      </c>
      <c r="J15" s="2">
        <f>($C$3*I15)/($I$3)</f>
        <v>3.4738663582353438E-4</v>
      </c>
    </row>
  </sheetData>
  <mergeCells count="2">
    <mergeCell ref="A5:J5"/>
    <mergeCell ref="A12:J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 Vu</dc:creator>
  <cp:lastModifiedBy>Vien Vu</cp:lastModifiedBy>
  <dcterms:created xsi:type="dcterms:W3CDTF">2026-05-25T00:00:57Z</dcterms:created>
  <dcterms:modified xsi:type="dcterms:W3CDTF">2026-06-09T06:20:08Z</dcterms:modified>
</cp:coreProperties>
</file>