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uon\Documents\LTspice_Projects\Transistor_Test_Bench\"/>
    </mc:Choice>
  </mc:AlternateContent>
  <xr:revisionPtr revIDLastSave="0" documentId="8_{B57D8BAB-DAFF-41DA-B858-CA504746AC1A}" xr6:coauthVersionLast="47" xr6:coauthVersionMax="47" xr10:uidLastSave="{00000000-0000-0000-0000-000000000000}"/>
  <bookViews>
    <workbookView xWindow="19110" yWindow="0" windowWidth="19380" windowHeight="21690" xr2:uid="{94DA4A4A-F701-4F45-8928-DA2A3BD00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" i="1" l="1"/>
  <c r="K9" i="1"/>
  <c r="J9" i="1"/>
  <c r="F9" i="1"/>
  <c r="I9" i="1"/>
  <c r="H9" i="1"/>
  <c r="G9" i="1"/>
  <c r="M9" i="1" l="1"/>
  <c r="N9" i="1" s="1"/>
</calcChain>
</file>

<file path=xl/sharedStrings.xml><?xml version="1.0" encoding="utf-8"?>
<sst xmlns="http://schemas.openxmlformats.org/spreadsheetml/2006/main" count="14" uniqueCount="14">
  <si>
    <t>R1</t>
  </si>
  <si>
    <t>R2</t>
  </si>
  <si>
    <t>R3</t>
  </si>
  <si>
    <t>R1_R2_R3_All_in_Parallel</t>
  </si>
  <si>
    <t>G1</t>
  </si>
  <si>
    <t>G2</t>
  </si>
  <si>
    <t>G3</t>
  </si>
  <si>
    <t>RE</t>
  </si>
  <si>
    <t>Gain</t>
  </si>
  <si>
    <t>Gain_dB</t>
  </si>
  <si>
    <t>Rin_Stage_2</t>
  </si>
  <si>
    <t>GIN_Stage_2</t>
  </si>
  <si>
    <t>CL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</si>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</sst>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6AD7-C8EC-4AAA-BA4C-267CCD114CA3}">
  <dimension ref="C8:R9"/>
  <sheetViews>
    <sheetView tabSelected="1" topLeftCell="B1" workbookViewId="0">
      <selection activeCell="K17" sqref="K17"/>
    </sheetView>
  </sheetViews>
  <sheetFormatPr defaultRowHeight="14.5" x14ac:dyDescent="0.35"/>
  <cols>
    <col min="6" max="6" width="10.54296875" bestFit="1" customWidth="1"/>
    <col min="10" max="10" width="11" bestFit="1" customWidth="1"/>
    <col min="11" max="11" width="20.90625" bestFit="1" customWidth="1"/>
  </cols>
  <sheetData>
    <row r="8" spans="3:18" x14ac:dyDescent="0.35">
      <c r="C8" t="s">
        <v>0</v>
      </c>
      <c r="D8" t="s">
        <v>1</v>
      </c>
      <c r="E8" t="s">
        <v>2</v>
      </c>
      <c r="F8" t="s">
        <v>10</v>
      </c>
      <c r="G8" t="s">
        <v>4</v>
      </c>
      <c r="H8" t="s">
        <v>5</v>
      </c>
      <c r="I8" t="s">
        <v>6</v>
      </c>
      <c r="J8" t="s">
        <v>11</v>
      </c>
      <c r="K8" t="s">
        <v>3</v>
      </c>
      <c r="L8" t="s">
        <v>7</v>
      </c>
      <c r="M8" t="s">
        <v>8</v>
      </c>
      <c r="N8" t="s">
        <v>9</v>
      </c>
      <c r="P8" t="s">
        <v>12</v>
      </c>
      <c r="R8" t="s">
        <v>13</v>
      </c>
    </row>
    <row r="9" spans="3:18" x14ac:dyDescent="0.35">
      <c r="C9" s="1">
        <v>4300</v>
      </c>
      <c r="D9" s="1">
        <v>5700</v>
      </c>
      <c r="E9">
        <v>720</v>
      </c>
      <c r="F9">
        <f>200*100</f>
        <v>20000</v>
      </c>
      <c r="G9" s="1">
        <f>1/C9</f>
        <v>2.3255813953488373E-4</v>
      </c>
      <c r="H9" s="1">
        <f>1/D9</f>
        <v>1.7543859649122806E-4</v>
      </c>
      <c r="I9">
        <f>1/E9</f>
        <v>1.3888888888888889E-3</v>
      </c>
      <c r="J9">
        <f>1/F9</f>
        <v>5.0000000000000002E-5</v>
      </c>
      <c r="K9" s="1">
        <f>1/(SUM(G9:J9))</f>
        <v>541.45204581687244</v>
      </c>
      <c r="L9">
        <v>24.9</v>
      </c>
      <c r="M9">
        <f>-K9/L9</f>
        <v>-21.745062080998895</v>
      </c>
      <c r="N9">
        <f>20*LOG10(ABS(M9))</f>
        <v>26.747213037816717</v>
      </c>
      <c r="P9" s="1">
        <v>1E-10</v>
      </c>
      <c r="R9" s="1">
        <f>1/(2*PI()*K9*P9)</f>
        <v>2939409.7653058646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Vien Vu</dc:creator>
  <cp:lastModifiedBy>Vien Vu</cp:lastModifiedBy>
  <dcterms:created xsi:type="dcterms:W3CDTF">2026-07-31T05:58:34Z</dcterms:created>
  <dcterms:modified xsi:type="dcterms:W3CDTF">2026-07-31T06:55:31Z</dcterms:modified>
</cp:coreProperties>
</file>